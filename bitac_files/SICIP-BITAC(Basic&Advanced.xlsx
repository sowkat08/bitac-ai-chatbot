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TRAINING\TRAINING REPORT\"/>
    </mc:Choice>
  </mc:AlternateContent>
  <bookViews>
    <workbookView xWindow="0" yWindow="0" windowWidth="28800" windowHeight="12210"/>
  </bookViews>
  <sheets>
    <sheet name="Basic&amp;Advanced" sheetId="1" r:id="rId1"/>
    <sheet name="Centrewise Basic Summary" sheetId="2" r:id="rId2"/>
  </sheets>
  <definedNames>
    <definedName name="_xlnm.Print_Area" localSheetId="0">'Basic&amp;Advanced'!$A$1:$N$18</definedName>
    <definedName name="_xlnm.Print_Area" localSheetId="1">'Centrewise Basic Summary'!$A$1:$M$73</definedName>
  </definedNames>
  <calcPr calcId="162913" forceFullCalc="1"/>
</workbook>
</file>

<file path=xl/calcChain.xml><?xml version="1.0" encoding="utf-8"?>
<calcChain xmlns="http://schemas.openxmlformats.org/spreadsheetml/2006/main">
  <c r="N18" i="1" l="1"/>
  <c r="M73" i="2" l="1"/>
  <c r="L73" i="2"/>
  <c r="K73" i="2"/>
  <c r="J73" i="2"/>
  <c r="I73" i="2"/>
  <c r="H73" i="2"/>
  <c r="G73" i="2"/>
  <c r="F73" i="2"/>
  <c r="E73" i="2"/>
  <c r="D73" i="2"/>
  <c r="M58" i="2"/>
  <c r="L58" i="2"/>
  <c r="K58" i="2"/>
  <c r="J58" i="2"/>
  <c r="I58" i="2"/>
  <c r="G58" i="2"/>
  <c r="F58" i="2"/>
  <c r="E58" i="2"/>
  <c r="M43" i="2"/>
  <c r="L43" i="2"/>
  <c r="K43" i="2"/>
  <c r="J43" i="2"/>
  <c r="I43" i="2"/>
  <c r="H43" i="2"/>
  <c r="G43" i="2"/>
  <c r="F43" i="2"/>
  <c r="E43" i="2"/>
  <c r="D43" i="2"/>
  <c r="L31" i="2"/>
  <c r="K31" i="2"/>
  <c r="J31" i="2"/>
  <c r="I31" i="2"/>
  <c r="H31" i="2"/>
  <c r="G31" i="2"/>
  <c r="F31" i="2"/>
  <c r="E31" i="2"/>
  <c r="D31" i="2"/>
  <c r="K16" i="2"/>
  <c r="I16" i="2"/>
  <c r="H16" i="2"/>
  <c r="F16" i="2"/>
  <c r="E16" i="2"/>
  <c r="D16" i="2"/>
  <c r="D54" i="2"/>
  <c r="H54" i="2" s="1"/>
  <c r="H53" i="2"/>
  <c r="H52" i="2"/>
  <c r="H51" i="2"/>
  <c r="H50" i="2"/>
  <c r="H49" i="2"/>
  <c r="H58" i="2" l="1"/>
  <c r="D58" i="2"/>
  <c r="M16" i="2"/>
  <c r="M27" i="2"/>
  <c r="M26" i="2"/>
  <c r="M25" i="2"/>
  <c r="M24" i="2"/>
  <c r="M23" i="2"/>
  <c r="M22" i="2"/>
  <c r="M31" i="2" l="1"/>
  <c r="M12" i="2"/>
  <c r="M10" i="2"/>
  <c r="M9" i="2"/>
  <c r="M8" i="2"/>
  <c r="M7" i="2"/>
  <c r="M18" i="1" l="1"/>
  <c r="L18" i="1"/>
  <c r="K18" i="1"/>
  <c r="J18" i="1"/>
  <c r="I18" i="1"/>
  <c r="H18" i="1"/>
  <c r="G18" i="1"/>
  <c r="F18" i="1"/>
  <c r="D18" i="1"/>
  <c r="C18" i="1"/>
  <c r="M13" i="1"/>
  <c r="L13" i="1"/>
  <c r="K13" i="1"/>
  <c r="J13" i="1"/>
  <c r="I13" i="1"/>
  <c r="H13" i="1"/>
  <c r="G13" i="1"/>
  <c r="F13" i="1"/>
  <c r="D13" i="1"/>
  <c r="C13" i="1"/>
  <c r="N13" i="1" l="1"/>
</calcChain>
</file>

<file path=xl/sharedStrings.xml><?xml version="1.0" encoding="utf-8"?>
<sst xmlns="http://schemas.openxmlformats.org/spreadsheetml/2006/main" count="196" uniqueCount="38">
  <si>
    <t>Course Wise Training Summary(Total:12)</t>
  </si>
  <si>
    <t>Sl</t>
  </si>
  <si>
    <t>Course Name</t>
  </si>
  <si>
    <t>Total Target
(As Per Contract)</t>
  </si>
  <si>
    <t>Enrollment</t>
  </si>
  <si>
    <t>Assessment</t>
  </si>
  <si>
    <t>Certifications</t>
  </si>
  <si>
    <t>Job Placement</t>
  </si>
  <si>
    <t>Total</t>
  </si>
  <si>
    <t>Female</t>
  </si>
  <si>
    <t>Dropout</t>
  </si>
  <si>
    <t>Percentage %</t>
  </si>
  <si>
    <t>Industrial Automation</t>
  </si>
  <si>
    <t>Pneumatic and Hydraulic System</t>
  </si>
  <si>
    <t>Industrial Robot Operation and Troubleshooting</t>
  </si>
  <si>
    <t>Industrial Electrical and Electronics Application</t>
  </si>
  <si>
    <t>3D Printing Technology</t>
  </si>
  <si>
    <t>CAD-CAM Design &amp; Programming (Mechanical)</t>
  </si>
  <si>
    <t>Advance CNC Machining Center Operation and Practice</t>
  </si>
  <si>
    <t>Drone Operation and Maintenance</t>
  </si>
  <si>
    <t>Advanced Welding</t>
  </si>
  <si>
    <t>Machine Shop Practice</t>
  </si>
  <si>
    <t>Electrical Installation &amp; Maintenance</t>
  </si>
  <si>
    <t>CNC Machining Center Operation and Practice</t>
  </si>
  <si>
    <r>
      <t>Tranche:Phase-1 Training Partner:</t>
    </r>
    <r>
      <rPr>
        <b/>
        <sz val="11"/>
        <color rgb="FF000000"/>
        <rFont val="Times New Roman"/>
        <family val="1"/>
      </rPr>
      <t xml:space="preserve"> Bangladesh Industrial Technical Assistance Center(BITAC)</t>
    </r>
    <r>
      <rPr>
        <sz val="11"/>
        <color rgb="FF000000"/>
        <rFont val="Times New Roman"/>
        <family val="1"/>
      </rPr>
      <t>, Employment Eligibility: Employment Eligible</t>
    </r>
  </si>
  <si>
    <t>Course Wise Training Summary</t>
  </si>
  <si>
    <t>Centre Name: BITAC, Dhaka</t>
  </si>
  <si>
    <t>Tranche:Phase-1 Training Partner: Bangladesh Industrial Technical Assistance Center(BITAC), Employment Eligibility: Employment Eligible</t>
  </si>
  <si>
    <t>Batch No</t>
  </si>
  <si>
    <t>1st</t>
  </si>
  <si>
    <t>2nd</t>
  </si>
  <si>
    <t>3rd</t>
  </si>
  <si>
    <t>Centre Name: BITAC, Chandpur</t>
  </si>
  <si>
    <t>Centre Name: BITAC, Chattogram</t>
  </si>
  <si>
    <t>Centre Name: BITAC, Khulna</t>
  </si>
  <si>
    <t>Centre Name: BITAC, Bogura.</t>
  </si>
  <si>
    <t>Tranche : Phase-1, Training Partner: Bangladesh Industrial Technical Assistance Center(BITAC), Employment Eligibility: Employment Eligible</t>
  </si>
  <si>
    <t>SICIP-BITAC (Basic Technical Skills Training Program)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</si>
</sst>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theme="3" tint="0.39997558519241921"/>
      <name val="Calibri"/>
      <family val="2"/>
    </font>
    <font>
      <sz val="11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4"/>
      <color rgb="FF00000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/>
    <xf numFmtId="0" fontId="1" fillId="2" borderId="0" xfId="0" applyFont="1" applyFill="1" applyBorder="1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0" xfId="0" applyFont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Fill="1" applyBorder="1" applyAlignment="1">
      <alignment horizontal="right"/>
    </xf>
    <xf numFmtId="2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6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2" fontId="13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2" fontId="14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/>
    </xf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view="pageBreakPreview" zoomScale="140" zoomScaleNormal="115" zoomScaleSheetLayoutView="140" workbookViewId="0">
      <selection activeCell="F13" sqref="F13"/>
    </sheetView>
  </sheetViews>
  <sheetFormatPr defaultRowHeight="15" x14ac:dyDescent="0.25"/>
  <cols>
    <col min="1" max="1" width="3.42578125" style="8" bestFit="1" customWidth="1"/>
    <col min="2" max="2" width="25" customWidth="1"/>
    <col min="3" max="3" width="15.5703125" customWidth="1"/>
    <col min="4" max="4" width="6" bestFit="1" customWidth="1"/>
    <col min="5" max="5" width="2.140625" customWidth="1"/>
    <col min="6" max="6" width="7.140625" customWidth="1"/>
    <col min="7" max="7" width="6" bestFit="1" customWidth="1"/>
    <col min="8" max="8" width="8" bestFit="1" customWidth="1"/>
    <col min="9" max="9" width="9" style="22" bestFit="1" customWidth="1"/>
    <col min="10" max="10" width="6" bestFit="1" customWidth="1"/>
    <col min="11" max="11" width="8" bestFit="1" customWidth="1"/>
    <col min="12" max="12" width="6" bestFit="1" customWidth="1"/>
    <col min="13" max="13" width="8" bestFit="1" customWidth="1"/>
    <col min="14" max="14" width="13.5703125" customWidth="1"/>
    <col min="15" max="15" width="23" style="1" bestFit="1" customWidth="1"/>
  </cols>
  <sheetData>
    <row r="1" spans="1:15" ht="15" customHeight="1" x14ac:dyDescent="0.3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5" ht="15" customHeight="1" x14ac:dyDescent="0.25">
      <c r="A2" s="54" t="s">
        <v>24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1:15" s="10" customFormat="1" x14ac:dyDescent="0.25">
      <c r="A3" s="60" t="s">
        <v>1</v>
      </c>
      <c r="B3" s="60" t="s">
        <v>2</v>
      </c>
      <c r="C3" s="61" t="s">
        <v>3</v>
      </c>
      <c r="D3" s="60" t="s">
        <v>4</v>
      </c>
      <c r="E3" s="60"/>
      <c r="F3" s="60"/>
      <c r="G3" s="57" t="s">
        <v>5</v>
      </c>
      <c r="H3" s="58"/>
      <c r="I3" s="57" t="s">
        <v>6</v>
      </c>
      <c r="J3" s="59"/>
      <c r="K3" s="58"/>
      <c r="L3" s="57" t="s">
        <v>7</v>
      </c>
      <c r="M3" s="59"/>
      <c r="N3" s="58"/>
      <c r="O3" s="9"/>
    </row>
    <row r="4" spans="1:15" s="10" customFormat="1" ht="26.25" customHeight="1" x14ac:dyDescent="0.25">
      <c r="A4" s="60"/>
      <c r="B4" s="60"/>
      <c r="C4" s="60"/>
      <c r="D4" s="57" t="s">
        <v>8</v>
      </c>
      <c r="E4" s="58"/>
      <c r="F4" s="12" t="s">
        <v>9</v>
      </c>
      <c r="G4" s="12" t="s">
        <v>8</v>
      </c>
      <c r="H4" s="12" t="s">
        <v>9</v>
      </c>
      <c r="I4" s="19" t="s">
        <v>10</v>
      </c>
      <c r="J4" s="12" t="s">
        <v>8</v>
      </c>
      <c r="K4" s="12" t="s">
        <v>9</v>
      </c>
      <c r="L4" s="12" t="s">
        <v>8</v>
      </c>
      <c r="M4" s="12" t="s">
        <v>9</v>
      </c>
      <c r="N4" s="12" t="s">
        <v>11</v>
      </c>
      <c r="O4" s="11"/>
    </row>
    <row r="5" spans="1:15" ht="15.75" x14ac:dyDescent="0.25">
      <c r="A5" s="13">
        <v>1</v>
      </c>
      <c r="B5" s="41" t="s">
        <v>12</v>
      </c>
      <c r="C5" s="33">
        <v>375</v>
      </c>
      <c r="D5" s="47">
        <v>239</v>
      </c>
      <c r="E5" s="48"/>
      <c r="F5" s="33">
        <v>13</v>
      </c>
      <c r="G5" s="33">
        <v>173</v>
      </c>
      <c r="H5" s="33">
        <v>6</v>
      </c>
      <c r="I5" s="34">
        <v>12</v>
      </c>
      <c r="J5" s="33">
        <v>173</v>
      </c>
      <c r="K5" s="33">
        <v>6</v>
      </c>
      <c r="L5" s="33">
        <v>60</v>
      </c>
      <c r="M5" s="33">
        <v>2</v>
      </c>
      <c r="N5" s="33">
        <v>34.68</v>
      </c>
      <c r="O5" s="2"/>
    </row>
    <row r="6" spans="1:15" ht="25.5" x14ac:dyDescent="0.25">
      <c r="A6" s="13">
        <v>2</v>
      </c>
      <c r="B6" s="41" t="s">
        <v>13</v>
      </c>
      <c r="C6" s="33">
        <v>375</v>
      </c>
      <c r="D6" s="47">
        <v>131</v>
      </c>
      <c r="E6" s="48"/>
      <c r="F6" s="33">
        <v>7</v>
      </c>
      <c r="G6" s="33">
        <v>94</v>
      </c>
      <c r="H6" s="33">
        <v>5</v>
      </c>
      <c r="I6" s="34">
        <v>10</v>
      </c>
      <c r="J6" s="33">
        <v>94</v>
      </c>
      <c r="K6" s="33">
        <v>5</v>
      </c>
      <c r="L6" s="33">
        <v>41</v>
      </c>
      <c r="M6" s="33">
        <v>2</v>
      </c>
      <c r="N6" s="33">
        <v>43.62</v>
      </c>
      <c r="O6" s="2"/>
    </row>
    <row r="7" spans="1:15" ht="25.5" x14ac:dyDescent="0.25">
      <c r="A7" s="13">
        <v>3</v>
      </c>
      <c r="B7" s="41" t="s">
        <v>14</v>
      </c>
      <c r="C7" s="33">
        <v>375</v>
      </c>
      <c r="D7" s="47">
        <v>134</v>
      </c>
      <c r="E7" s="48"/>
      <c r="F7" s="33">
        <v>6</v>
      </c>
      <c r="G7" s="33">
        <v>98</v>
      </c>
      <c r="H7" s="33">
        <v>2</v>
      </c>
      <c r="I7" s="34">
        <v>9</v>
      </c>
      <c r="J7" s="33">
        <v>98</v>
      </c>
      <c r="K7" s="33">
        <v>2</v>
      </c>
      <c r="L7" s="33">
        <v>32</v>
      </c>
      <c r="M7" s="33">
        <v>1</v>
      </c>
      <c r="N7" s="33">
        <v>32.65</v>
      </c>
      <c r="O7" s="2"/>
    </row>
    <row r="8" spans="1:15" ht="25.5" x14ac:dyDescent="0.25">
      <c r="A8" s="13">
        <v>4</v>
      </c>
      <c r="B8" s="41" t="s">
        <v>15</v>
      </c>
      <c r="C8" s="33">
        <v>375</v>
      </c>
      <c r="D8" s="47">
        <v>152</v>
      </c>
      <c r="E8" s="48"/>
      <c r="F8" s="33">
        <v>7</v>
      </c>
      <c r="G8" s="33">
        <v>117</v>
      </c>
      <c r="H8" s="33">
        <v>6</v>
      </c>
      <c r="I8" s="34">
        <v>8</v>
      </c>
      <c r="J8" s="33">
        <v>117</v>
      </c>
      <c r="K8" s="33">
        <v>6</v>
      </c>
      <c r="L8" s="33">
        <v>57</v>
      </c>
      <c r="M8" s="33">
        <v>2</v>
      </c>
      <c r="N8" s="33">
        <v>48.72</v>
      </c>
      <c r="O8" s="2"/>
    </row>
    <row r="9" spans="1:15" ht="15.75" x14ac:dyDescent="0.25">
      <c r="A9" s="13">
        <v>5</v>
      </c>
      <c r="B9" s="41" t="s">
        <v>16</v>
      </c>
      <c r="C9" s="33">
        <v>375</v>
      </c>
      <c r="D9" s="47">
        <v>39</v>
      </c>
      <c r="E9" s="48"/>
      <c r="F9" s="33">
        <v>7</v>
      </c>
      <c r="G9" s="33">
        <v>16</v>
      </c>
      <c r="H9" s="33">
        <v>5</v>
      </c>
      <c r="I9" s="34">
        <v>0</v>
      </c>
      <c r="J9" s="33">
        <v>16</v>
      </c>
      <c r="K9" s="33">
        <v>5</v>
      </c>
      <c r="L9" s="33">
        <v>11</v>
      </c>
      <c r="M9" s="33">
        <v>3</v>
      </c>
      <c r="N9" s="33">
        <v>68.75</v>
      </c>
      <c r="O9" s="2"/>
    </row>
    <row r="10" spans="1:15" ht="25.5" x14ac:dyDescent="0.25">
      <c r="A10" s="13">
        <v>6</v>
      </c>
      <c r="B10" s="41" t="s">
        <v>17</v>
      </c>
      <c r="C10" s="33">
        <v>375</v>
      </c>
      <c r="D10" s="47">
        <v>152</v>
      </c>
      <c r="E10" s="48"/>
      <c r="F10" s="33">
        <v>14</v>
      </c>
      <c r="G10" s="33">
        <v>115</v>
      </c>
      <c r="H10" s="33">
        <v>11</v>
      </c>
      <c r="I10" s="34">
        <v>10</v>
      </c>
      <c r="J10" s="33">
        <v>115</v>
      </c>
      <c r="K10" s="33">
        <v>11</v>
      </c>
      <c r="L10" s="33">
        <v>60</v>
      </c>
      <c r="M10" s="33">
        <v>5</v>
      </c>
      <c r="N10" s="33">
        <v>52.17</v>
      </c>
      <c r="O10" s="2"/>
    </row>
    <row r="11" spans="1:15" ht="25.5" x14ac:dyDescent="0.25">
      <c r="A11" s="13">
        <v>7</v>
      </c>
      <c r="B11" s="41" t="s">
        <v>18</v>
      </c>
      <c r="C11" s="33">
        <v>375</v>
      </c>
      <c r="D11" s="47">
        <v>151</v>
      </c>
      <c r="E11" s="48"/>
      <c r="F11" s="33">
        <v>5</v>
      </c>
      <c r="G11" s="33">
        <v>122</v>
      </c>
      <c r="H11" s="33">
        <v>5</v>
      </c>
      <c r="I11" s="34">
        <v>3</v>
      </c>
      <c r="J11" s="33">
        <v>122</v>
      </c>
      <c r="K11" s="33">
        <v>5</v>
      </c>
      <c r="L11" s="33">
        <v>68</v>
      </c>
      <c r="M11" s="33">
        <v>3</v>
      </c>
      <c r="N11" s="33">
        <v>55.74</v>
      </c>
      <c r="O11" s="2"/>
    </row>
    <row r="12" spans="1:15" ht="25.5" x14ac:dyDescent="0.25">
      <c r="A12" s="13">
        <v>8</v>
      </c>
      <c r="B12" s="41" t="s">
        <v>19</v>
      </c>
      <c r="C12" s="33">
        <v>175</v>
      </c>
      <c r="D12" s="47">
        <v>0</v>
      </c>
      <c r="E12" s="48"/>
      <c r="F12" s="33">
        <v>0</v>
      </c>
      <c r="G12" s="33">
        <v>0</v>
      </c>
      <c r="H12" s="33">
        <v>0</v>
      </c>
      <c r="I12" s="34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2"/>
    </row>
    <row r="13" spans="1:15" s="5" customFormat="1" ht="15.75" x14ac:dyDescent="0.25">
      <c r="A13" s="14">
        <v>9</v>
      </c>
      <c r="B13" s="39" t="s">
        <v>8</v>
      </c>
      <c r="C13" s="35">
        <f>SUM(C5:C12)</f>
        <v>2800</v>
      </c>
      <c r="D13" s="49">
        <f>SUM(D5:D12)</f>
        <v>998</v>
      </c>
      <c r="E13" s="50"/>
      <c r="F13" s="35">
        <f t="shared" ref="F13:M13" si="0">SUM(F5:F12)</f>
        <v>59</v>
      </c>
      <c r="G13" s="35">
        <f t="shared" si="0"/>
        <v>735</v>
      </c>
      <c r="H13" s="35">
        <f t="shared" si="0"/>
        <v>40</v>
      </c>
      <c r="I13" s="35">
        <f t="shared" si="0"/>
        <v>52</v>
      </c>
      <c r="J13" s="35">
        <f t="shared" si="0"/>
        <v>735</v>
      </c>
      <c r="K13" s="35">
        <f t="shared" si="0"/>
        <v>40</v>
      </c>
      <c r="L13" s="35">
        <f t="shared" si="0"/>
        <v>329</v>
      </c>
      <c r="M13" s="35">
        <f t="shared" si="0"/>
        <v>18</v>
      </c>
      <c r="N13" s="36">
        <f>L13/J13*100</f>
        <v>44.761904761904766</v>
      </c>
      <c r="O13" s="4"/>
    </row>
    <row r="14" spans="1:15" ht="15.75" x14ac:dyDescent="0.25">
      <c r="A14" s="13">
        <v>10</v>
      </c>
      <c r="B14" s="42" t="s">
        <v>20</v>
      </c>
      <c r="C14" s="34">
        <v>1300</v>
      </c>
      <c r="D14" s="43">
        <v>290</v>
      </c>
      <c r="E14" s="44"/>
      <c r="F14" s="34">
        <v>6</v>
      </c>
      <c r="G14" s="34">
        <v>173</v>
      </c>
      <c r="H14" s="34">
        <v>0</v>
      </c>
      <c r="I14" s="34">
        <v>17</v>
      </c>
      <c r="J14" s="34">
        <v>173</v>
      </c>
      <c r="K14" s="34">
        <v>0</v>
      </c>
      <c r="L14" s="34">
        <v>71</v>
      </c>
      <c r="M14" s="34">
        <v>0</v>
      </c>
      <c r="N14" s="34">
        <v>41.04</v>
      </c>
      <c r="O14" s="3"/>
    </row>
    <row r="15" spans="1:15" ht="15.75" x14ac:dyDescent="0.25">
      <c r="A15" s="13">
        <v>11</v>
      </c>
      <c r="B15" s="42" t="s">
        <v>21</v>
      </c>
      <c r="C15" s="34">
        <v>1300</v>
      </c>
      <c r="D15" s="43">
        <v>238</v>
      </c>
      <c r="E15" s="44"/>
      <c r="F15" s="34">
        <v>62</v>
      </c>
      <c r="G15" s="34">
        <v>151</v>
      </c>
      <c r="H15" s="34">
        <v>24</v>
      </c>
      <c r="I15" s="34">
        <v>12</v>
      </c>
      <c r="J15" s="34">
        <v>151</v>
      </c>
      <c r="K15" s="34">
        <v>24</v>
      </c>
      <c r="L15" s="34">
        <v>73</v>
      </c>
      <c r="M15" s="34">
        <v>10</v>
      </c>
      <c r="N15" s="34">
        <v>48.34</v>
      </c>
      <c r="O15" s="3"/>
    </row>
    <row r="16" spans="1:15" ht="25.5" x14ac:dyDescent="0.25">
      <c r="A16" s="13">
        <v>12</v>
      </c>
      <c r="B16" s="42" t="s">
        <v>22</v>
      </c>
      <c r="C16" s="34">
        <v>1625</v>
      </c>
      <c r="D16" s="43">
        <v>371</v>
      </c>
      <c r="E16" s="44"/>
      <c r="F16" s="34">
        <v>128</v>
      </c>
      <c r="G16" s="34">
        <v>229</v>
      </c>
      <c r="H16" s="34">
        <v>31</v>
      </c>
      <c r="I16" s="34">
        <v>17</v>
      </c>
      <c r="J16" s="34">
        <v>229</v>
      </c>
      <c r="K16" s="34">
        <v>31</v>
      </c>
      <c r="L16" s="34">
        <v>110</v>
      </c>
      <c r="M16" s="34">
        <v>19</v>
      </c>
      <c r="N16" s="34">
        <v>48.03</v>
      </c>
      <c r="O16" s="3"/>
    </row>
    <row r="17" spans="1:15" ht="25.5" x14ac:dyDescent="0.25">
      <c r="A17" s="13">
        <v>13</v>
      </c>
      <c r="B17" s="42" t="s">
        <v>23</v>
      </c>
      <c r="C17" s="34">
        <v>325</v>
      </c>
      <c r="D17" s="43">
        <v>75</v>
      </c>
      <c r="E17" s="44"/>
      <c r="F17" s="34">
        <v>17</v>
      </c>
      <c r="G17" s="34">
        <v>49</v>
      </c>
      <c r="H17" s="34">
        <v>7</v>
      </c>
      <c r="I17" s="34">
        <v>1</v>
      </c>
      <c r="J17" s="34">
        <v>49</v>
      </c>
      <c r="K17" s="34">
        <v>7</v>
      </c>
      <c r="L17" s="34">
        <v>17</v>
      </c>
      <c r="M17" s="34">
        <v>0</v>
      </c>
      <c r="N17" s="34">
        <v>34.69</v>
      </c>
      <c r="O17" s="3"/>
    </row>
    <row r="18" spans="1:15" s="7" customFormat="1" ht="15.75" x14ac:dyDescent="0.25">
      <c r="A18" s="15">
        <v>14</v>
      </c>
      <c r="B18" s="40" t="s">
        <v>8</v>
      </c>
      <c r="C18" s="37">
        <f>SUM(C14:C17)</f>
        <v>4550</v>
      </c>
      <c r="D18" s="45">
        <f>SUM(D14:D17)</f>
        <v>974</v>
      </c>
      <c r="E18" s="46"/>
      <c r="F18" s="37">
        <f t="shared" ref="F18:M18" si="1">SUM(F14:F17)</f>
        <v>213</v>
      </c>
      <c r="G18" s="37">
        <f t="shared" si="1"/>
        <v>602</v>
      </c>
      <c r="H18" s="37">
        <f t="shared" si="1"/>
        <v>62</v>
      </c>
      <c r="I18" s="35">
        <f t="shared" si="1"/>
        <v>47</v>
      </c>
      <c r="J18" s="37">
        <f t="shared" si="1"/>
        <v>602</v>
      </c>
      <c r="K18" s="37">
        <f t="shared" si="1"/>
        <v>62</v>
      </c>
      <c r="L18" s="37">
        <f t="shared" si="1"/>
        <v>271</v>
      </c>
      <c r="M18" s="37">
        <f t="shared" si="1"/>
        <v>29</v>
      </c>
      <c r="N18" s="38">
        <f>AVERAGE(N14:N17)</f>
        <v>43.024999999999999</v>
      </c>
      <c r="O18" s="6"/>
    </row>
    <row r="19" spans="1:15" ht="15" customHeight="1" x14ac:dyDescent="0.25">
      <c r="A19" s="16"/>
      <c r="B19" s="17"/>
      <c r="C19" s="17"/>
      <c r="D19" s="17"/>
      <c r="E19" s="17"/>
      <c r="F19" s="17"/>
      <c r="G19" s="17"/>
      <c r="H19" s="17"/>
      <c r="I19" s="20"/>
      <c r="J19" s="17"/>
      <c r="K19" s="17"/>
      <c r="L19" s="17"/>
      <c r="M19" s="17"/>
      <c r="N19" s="17"/>
    </row>
    <row r="20" spans="1:15" x14ac:dyDescent="0.25">
      <c r="I20" s="21"/>
    </row>
    <row r="21" spans="1:15" x14ac:dyDescent="0.25">
      <c r="I21" s="21"/>
    </row>
  </sheetData>
  <sheetProtection formatCells="0" formatColumns="0" formatRows="0" insertColumns="0" insertRows="0" insertHyperlinks="0" deleteColumns="0" deleteRows="0" sort="0" autoFilter="0" pivotTables="0"/>
  <mergeCells count="24">
    <mergeCell ref="A1:N1"/>
    <mergeCell ref="A2:N2"/>
    <mergeCell ref="G3:H3"/>
    <mergeCell ref="D5:E5"/>
    <mergeCell ref="D6:E6"/>
    <mergeCell ref="I3:K3"/>
    <mergeCell ref="L3:N3"/>
    <mergeCell ref="A3:A4"/>
    <mergeCell ref="B3:B4"/>
    <mergeCell ref="C3:C4"/>
    <mergeCell ref="D3:F3"/>
    <mergeCell ref="D4:E4"/>
    <mergeCell ref="D7:E7"/>
    <mergeCell ref="D8:E8"/>
    <mergeCell ref="D9:E9"/>
    <mergeCell ref="D15:E15"/>
    <mergeCell ref="D16:E16"/>
    <mergeCell ref="D17:E17"/>
    <mergeCell ref="D18:E18"/>
    <mergeCell ref="D10:E10"/>
    <mergeCell ref="D11:E11"/>
    <mergeCell ref="D12:E12"/>
    <mergeCell ref="D13:E13"/>
    <mergeCell ref="D14:E14"/>
  </mergeCells>
  <pageMargins left="0.4" right="0" top="0.75" bottom="0.75" header="0.3" footer="0.3"/>
  <pageSetup paperSize="9" scale="110" orientation="landscape" r:id="rId1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view="pageBreakPreview" zoomScale="130" zoomScaleNormal="100" zoomScaleSheetLayoutView="130" workbookViewId="0">
      <selection activeCell="J15" sqref="J15"/>
    </sheetView>
  </sheetViews>
  <sheetFormatPr defaultRowHeight="15" x14ac:dyDescent="0.25"/>
  <cols>
    <col min="1" max="1" width="9.85546875" customWidth="1"/>
    <col min="2" max="2" width="42.5703125" bestFit="1" customWidth="1"/>
    <col min="3" max="3" width="16" bestFit="1" customWidth="1"/>
    <col min="4" max="4" width="6" bestFit="1" customWidth="1"/>
    <col min="5" max="5" width="8" bestFit="1" customWidth="1"/>
    <col min="6" max="6" width="6" bestFit="1" customWidth="1"/>
    <col min="7" max="8" width="8" bestFit="1" customWidth="1"/>
    <col min="9" max="9" width="9" customWidth="1"/>
    <col min="10" max="10" width="8" bestFit="1" customWidth="1"/>
    <col min="11" max="11" width="6" bestFit="1" customWidth="1"/>
    <col min="12" max="12" width="8.28515625" customWidth="1"/>
    <col min="13" max="13" width="12.28515625" customWidth="1"/>
  </cols>
  <sheetData>
    <row r="1" spans="1:13" ht="18.75" x14ac:dyDescent="0.3">
      <c r="A1" s="62" t="s">
        <v>37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x14ac:dyDescent="0.25">
      <c r="A2" s="64" t="s">
        <v>25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1:13" x14ac:dyDescent="0.25">
      <c r="A3" s="67" t="s">
        <v>26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</row>
    <row r="4" spans="1:13" x14ac:dyDescent="0.25">
      <c r="A4" s="64" t="s">
        <v>27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13" x14ac:dyDescent="0.25">
      <c r="A5" s="63" t="s">
        <v>28</v>
      </c>
      <c r="B5" s="63" t="s">
        <v>2</v>
      </c>
      <c r="C5" s="65" t="s">
        <v>3</v>
      </c>
      <c r="D5" s="63" t="s">
        <v>4</v>
      </c>
      <c r="E5" s="63"/>
      <c r="F5" s="63" t="s">
        <v>5</v>
      </c>
      <c r="G5" s="63"/>
      <c r="H5" s="63"/>
      <c r="I5" s="63" t="s">
        <v>6</v>
      </c>
      <c r="J5" s="63"/>
      <c r="K5" s="63" t="s">
        <v>7</v>
      </c>
      <c r="L5" s="63"/>
      <c r="M5" s="63"/>
    </row>
    <row r="6" spans="1:13" x14ac:dyDescent="0.25">
      <c r="A6" s="63"/>
      <c r="B6" s="63"/>
      <c r="C6" s="66"/>
      <c r="D6" s="19" t="s">
        <v>8</v>
      </c>
      <c r="E6" s="19" t="s">
        <v>9</v>
      </c>
      <c r="F6" s="19" t="s">
        <v>8</v>
      </c>
      <c r="G6" s="19" t="s">
        <v>9</v>
      </c>
      <c r="H6" s="19" t="s">
        <v>10</v>
      </c>
      <c r="I6" s="19" t="s">
        <v>8</v>
      </c>
      <c r="J6" s="19" t="s">
        <v>9</v>
      </c>
      <c r="K6" s="19" t="s">
        <v>8</v>
      </c>
      <c r="L6" s="19" t="s">
        <v>9</v>
      </c>
      <c r="M6" s="19" t="s">
        <v>11</v>
      </c>
    </row>
    <row r="7" spans="1:13" x14ac:dyDescent="0.25">
      <c r="A7" s="63" t="s">
        <v>29</v>
      </c>
      <c r="B7" s="23" t="s">
        <v>20</v>
      </c>
      <c r="C7" s="24">
        <v>25</v>
      </c>
      <c r="D7" s="18">
        <v>23</v>
      </c>
      <c r="E7" s="18">
        <v>0</v>
      </c>
      <c r="F7" s="18">
        <v>20</v>
      </c>
      <c r="G7" s="18">
        <v>0</v>
      </c>
      <c r="H7" s="18">
        <v>3</v>
      </c>
      <c r="I7" s="18">
        <v>20</v>
      </c>
      <c r="J7" s="18">
        <v>0</v>
      </c>
      <c r="K7" s="18">
        <v>13</v>
      </c>
      <c r="L7" s="18">
        <v>0</v>
      </c>
      <c r="M7" s="18">
        <f>K7/I7*100</f>
        <v>65</v>
      </c>
    </row>
    <row r="8" spans="1:13" x14ac:dyDescent="0.25">
      <c r="A8" s="63"/>
      <c r="B8" s="23" t="s">
        <v>21</v>
      </c>
      <c r="C8" s="24">
        <v>25</v>
      </c>
      <c r="D8" s="18">
        <v>19</v>
      </c>
      <c r="E8" s="18">
        <v>0</v>
      </c>
      <c r="F8" s="18">
        <v>18</v>
      </c>
      <c r="G8" s="18">
        <v>0</v>
      </c>
      <c r="H8" s="18">
        <v>1</v>
      </c>
      <c r="I8" s="18">
        <v>18</v>
      </c>
      <c r="J8" s="18">
        <v>0</v>
      </c>
      <c r="K8" s="18">
        <v>3</v>
      </c>
      <c r="L8" s="18">
        <v>0</v>
      </c>
      <c r="M8" s="25">
        <f t="shared" ref="M8:M12" si="0">K8/I8*100</f>
        <v>16.666666666666664</v>
      </c>
    </row>
    <row r="9" spans="1:13" x14ac:dyDescent="0.25">
      <c r="A9" s="63"/>
      <c r="B9" s="23" t="s">
        <v>22</v>
      </c>
      <c r="C9" s="24">
        <v>25</v>
      </c>
      <c r="D9" s="18">
        <v>24</v>
      </c>
      <c r="E9" s="18">
        <v>0</v>
      </c>
      <c r="F9" s="18">
        <v>24</v>
      </c>
      <c r="G9" s="18">
        <v>0</v>
      </c>
      <c r="H9" s="18">
        <v>0</v>
      </c>
      <c r="I9" s="18">
        <v>24</v>
      </c>
      <c r="J9" s="18">
        <v>0</v>
      </c>
      <c r="K9" s="18">
        <v>6</v>
      </c>
      <c r="L9" s="18">
        <v>0</v>
      </c>
      <c r="M9" s="18">
        <f t="shared" si="0"/>
        <v>25</v>
      </c>
    </row>
    <row r="10" spans="1:13" x14ac:dyDescent="0.25">
      <c r="A10" s="63" t="s">
        <v>30</v>
      </c>
      <c r="B10" s="23" t="s">
        <v>20</v>
      </c>
      <c r="C10" s="24">
        <v>25</v>
      </c>
      <c r="D10" s="18">
        <v>20</v>
      </c>
      <c r="E10" s="18">
        <v>0</v>
      </c>
      <c r="F10" s="18">
        <v>16</v>
      </c>
      <c r="G10" s="18">
        <v>0</v>
      </c>
      <c r="H10" s="18">
        <v>4</v>
      </c>
      <c r="I10" s="18">
        <v>16</v>
      </c>
      <c r="J10" s="18">
        <v>0</v>
      </c>
      <c r="K10" s="18">
        <v>0</v>
      </c>
      <c r="L10" s="18">
        <v>0</v>
      </c>
      <c r="M10" s="18">
        <f t="shared" si="0"/>
        <v>0</v>
      </c>
    </row>
    <row r="11" spans="1:13" x14ac:dyDescent="0.25">
      <c r="A11" s="63"/>
      <c r="B11" s="23" t="s">
        <v>21</v>
      </c>
      <c r="C11" s="24">
        <v>25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</row>
    <row r="12" spans="1:13" x14ac:dyDescent="0.25">
      <c r="A12" s="63"/>
      <c r="B12" s="23" t="s">
        <v>22</v>
      </c>
      <c r="C12" s="24">
        <v>25</v>
      </c>
      <c r="D12" s="18">
        <v>23</v>
      </c>
      <c r="E12" s="18">
        <v>0</v>
      </c>
      <c r="F12" s="18">
        <v>15</v>
      </c>
      <c r="G12" s="18">
        <v>0</v>
      </c>
      <c r="H12" s="18">
        <v>8</v>
      </c>
      <c r="I12" s="18">
        <v>15</v>
      </c>
      <c r="J12" s="18">
        <v>0</v>
      </c>
      <c r="K12" s="18">
        <v>0</v>
      </c>
      <c r="L12" s="18">
        <v>0</v>
      </c>
      <c r="M12" s="18">
        <f t="shared" si="0"/>
        <v>0</v>
      </c>
    </row>
    <row r="13" spans="1:13" x14ac:dyDescent="0.25">
      <c r="A13" s="63" t="s">
        <v>31</v>
      </c>
      <c r="B13" s="23" t="s">
        <v>20</v>
      </c>
      <c r="C13" s="24">
        <v>25</v>
      </c>
      <c r="D13" s="18">
        <v>25</v>
      </c>
      <c r="E13" s="18">
        <v>0</v>
      </c>
      <c r="F13" s="18"/>
      <c r="G13" s="18"/>
      <c r="H13" s="18"/>
      <c r="I13" s="18"/>
      <c r="J13" s="18"/>
      <c r="K13" s="18"/>
      <c r="L13" s="18"/>
      <c r="M13" s="18"/>
    </row>
    <row r="14" spans="1:13" x14ac:dyDescent="0.25">
      <c r="A14" s="63"/>
      <c r="B14" s="23" t="s">
        <v>21</v>
      </c>
      <c r="C14" s="24">
        <v>25</v>
      </c>
      <c r="D14" s="18">
        <v>0</v>
      </c>
      <c r="E14" s="18">
        <v>0</v>
      </c>
      <c r="F14" s="18"/>
      <c r="G14" s="18"/>
      <c r="H14" s="18"/>
      <c r="I14" s="18"/>
      <c r="J14" s="18"/>
      <c r="K14" s="18"/>
      <c r="L14" s="18"/>
      <c r="M14" s="18"/>
    </row>
    <row r="15" spans="1:13" x14ac:dyDescent="0.25">
      <c r="A15" s="63"/>
      <c r="B15" s="23" t="s">
        <v>22</v>
      </c>
      <c r="C15" s="24">
        <v>25</v>
      </c>
      <c r="D15" s="18">
        <v>25</v>
      </c>
      <c r="E15" s="18">
        <v>0</v>
      </c>
      <c r="F15" s="18"/>
      <c r="G15" s="18"/>
      <c r="H15" s="18"/>
      <c r="I15" s="18"/>
      <c r="J15" s="18"/>
      <c r="K15" s="18"/>
      <c r="L15" s="18"/>
      <c r="M15" s="18"/>
    </row>
    <row r="16" spans="1:13" x14ac:dyDescent="0.25">
      <c r="A16" s="26"/>
      <c r="B16" s="27" t="s">
        <v>8</v>
      </c>
      <c r="C16" s="19"/>
      <c r="D16" s="23">
        <f>SUM(D7:D15)</f>
        <v>159</v>
      </c>
      <c r="E16" s="23">
        <f>SUM(E7:E15)</f>
        <v>0</v>
      </c>
      <c r="F16" s="23">
        <f>SUM(F7:F15)</f>
        <v>93</v>
      </c>
      <c r="G16" s="23"/>
      <c r="H16" s="23">
        <f>SUM(H7:H15)</f>
        <v>16</v>
      </c>
      <c r="I16" s="23">
        <f>SUM(I7:I15)</f>
        <v>93</v>
      </c>
      <c r="J16" s="23"/>
      <c r="K16" s="23">
        <f>SUM(K7:K15)</f>
        <v>22</v>
      </c>
      <c r="L16" s="23"/>
      <c r="M16" s="28">
        <f>K16/I16*100</f>
        <v>23.655913978494624</v>
      </c>
    </row>
    <row r="17" spans="1:13" x14ac:dyDescent="0.25">
      <c r="A17" s="64" t="s">
        <v>25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</row>
    <row r="18" spans="1:13" x14ac:dyDescent="0.25">
      <c r="A18" s="67" t="s">
        <v>32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</row>
    <row r="19" spans="1:13" x14ac:dyDescent="0.25">
      <c r="A19" s="64" t="s">
        <v>27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</row>
    <row r="20" spans="1:13" x14ac:dyDescent="0.25">
      <c r="A20" s="63" t="s">
        <v>28</v>
      </c>
      <c r="B20" s="63" t="s">
        <v>2</v>
      </c>
      <c r="C20" s="65" t="s">
        <v>3</v>
      </c>
      <c r="D20" s="63" t="s">
        <v>4</v>
      </c>
      <c r="E20" s="63"/>
      <c r="F20" s="63" t="s">
        <v>5</v>
      </c>
      <c r="G20" s="63"/>
      <c r="H20" s="63"/>
      <c r="I20" s="63" t="s">
        <v>6</v>
      </c>
      <c r="J20" s="63"/>
      <c r="K20" s="63" t="s">
        <v>7</v>
      </c>
      <c r="L20" s="63"/>
      <c r="M20" s="63"/>
    </row>
    <row r="21" spans="1:13" x14ac:dyDescent="0.25">
      <c r="A21" s="63"/>
      <c r="B21" s="63"/>
      <c r="C21" s="66"/>
      <c r="D21" s="19" t="s">
        <v>8</v>
      </c>
      <c r="E21" s="19" t="s">
        <v>9</v>
      </c>
      <c r="F21" s="19" t="s">
        <v>8</v>
      </c>
      <c r="G21" s="19" t="s">
        <v>9</v>
      </c>
      <c r="H21" s="19" t="s">
        <v>10</v>
      </c>
      <c r="I21" s="19" t="s">
        <v>8</v>
      </c>
      <c r="J21" s="19" t="s">
        <v>9</v>
      </c>
      <c r="K21" s="19" t="s">
        <v>8</v>
      </c>
      <c r="L21" s="19" t="s">
        <v>9</v>
      </c>
      <c r="M21" s="19" t="s">
        <v>11</v>
      </c>
    </row>
    <row r="22" spans="1:13" x14ac:dyDescent="0.25">
      <c r="A22" s="63" t="s">
        <v>29</v>
      </c>
      <c r="B22" s="23" t="s">
        <v>20</v>
      </c>
      <c r="C22" s="18">
        <v>25</v>
      </c>
      <c r="D22" s="18">
        <v>25</v>
      </c>
      <c r="E22" s="18">
        <v>0</v>
      </c>
      <c r="F22" s="18">
        <v>24</v>
      </c>
      <c r="G22" s="18">
        <v>0</v>
      </c>
      <c r="H22" s="18">
        <v>0</v>
      </c>
      <c r="I22" s="18">
        <v>24</v>
      </c>
      <c r="J22" s="18">
        <v>0</v>
      </c>
      <c r="K22" s="18">
        <v>17</v>
      </c>
      <c r="L22" s="18">
        <v>0</v>
      </c>
      <c r="M22" s="25">
        <f>K22/I22*100</f>
        <v>70.833333333333343</v>
      </c>
    </row>
    <row r="23" spans="1:13" x14ac:dyDescent="0.25">
      <c r="A23" s="63"/>
      <c r="B23" s="23" t="s">
        <v>21</v>
      </c>
      <c r="C23" s="18">
        <v>25</v>
      </c>
      <c r="D23" s="18">
        <v>25</v>
      </c>
      <c r="E23" s="18">
        <v>3</v>
      </c>
      <c r="F23" s="18">
        <v>24</v>
      </c>
      <c r="G23" s="18">
        <v>3</v>
      </c>
      <c r="H23" s="18">
        <v>1</v>
      </c>
      <c r="I23" s="18">
        <v>24</v>
      </c>
      <c r="J23" s="18">
        <v>3</v>
      </c>
      <c r="K23" s="18">
        <v>21</v>
      </c>
      <c r="L23" s="18">
        <v>3</v>
      </c>
      <c r="M23" s="25">
        <f t="shared" ref="M23:M27" si="1">K23/I23*100</f>
        <v>87.5</v>
      </c>
    </row>
    <row r="24" spans="1:13" x14ac:dyDescent="0.25">
      <c r="A24" s="63"/>
      <c r="B24" s="23" t="s">
        <v>22</v>
      </c>
      <c r="C24" s="18">
        <v>25</v>
      </c>
      <c r="D24" s="18">
        <v>25</v>
      </c>
      <c r="E24" s="18">
        <v>6</v>
      </c>
      <c r="F24" s="18">
        <v>24</v>
      </c>
      <c r="G24" s="18">
        <v>6</v>
      </c>
      <c r="H24" s="18">
        <v>1</v>
      </c>
      <c r="I24" s="18">
        <v>24</v>
      </c>
      <c r="J24" s="18">
        <v>6</v>
      </c>
      <c r="K24" s="18">
        <v>21</v>
      </c>
      <c r="L24" s="18">
        <v>6</v>
      </c>
      <c r="M24" s="25">
        <f t="shared" si="1"/>
        <v>87.5</v>
      </c>
    </row>
    <row r="25" spans="1:13" x14ac:dyDescent="0.25">
      <c r="A25" s="63" t="s">
        <v>30</v>
      </c>
      <c r="B25" s="23" t="s">
        <v>20</v>
      </c>
      <c r="C25" s="18">
        <v>25</v>
      </c>
      <c r="D25" s="18">
        <v>25</v>
      </c>
      <c r="E25" s="18">
        <v>0</v>
      </c>
      <c r="F25" s="18">
        <v>25</v>
      </c>
      <c r="G25" s="18">
        <v>0</v>
      </c>
      <c r="H25" s="18">
        <v>0</v>
      </c>
      <c r="I25" s="18">
        <v>25</v>
      </c>
      <c r="J25" s="18">
        <v>0</v>
      </c>
      <c r="K25" s="18">
        <v>19</v>
      </c>
      <c r="L25" s="18">
        <v>0</v>
      </c>
      <c r="M25" s="25">
        <f t="shared" si="1"/>
        <v>76</v>
      </c>
    </row>
    <row r="26" spans="1:13" x14ac:dyDescent="0.25">
      <c r="A26" s="63"/>
      <c r="B26" s="23" t="s">
        <v>21</v>
      </c>
      <c r="C26" s="18">
        <v>25</v>
      </c>
      <c r="D26" s="18">
        <v>25</v>
      </c>
      <c r="E26" s="18">
        <v>1</v>
      </c>
      <c r="F26" s="18">
        <v>23</v>
      </c>
      <c r="G26" s="18">
        <v>1</v>
      </c>
      <c r="H26" s="18">
        <v>2</v>
      </c>
      <c r="I26" s="18">
        <v>23</v>
      </c>
      <c r="J26" s="18">
        <v>1</v>
      </c>
      <c r="K26" s="18">
        <v>18</v>
      </c>
      <c r="L26" s="18">
        <v>1</v>
      </c>
      <c r="M26" s="25">
        <f t="shared" si="1"/>
        <v>78.260869565217391</v>
      </c>
    </row>
    <row r="27" spans="1:13" x14ac:dyDescent="0.25">
      <c r="A27" s="63"/>
      <c r="B27" s="23" t="s">
        <v>22</v>
      </c>
      <c r="C27" s="18">
        <v>25</v>
      </c>
      <c r="D27" s="18">
        <v>25</v>
      </c>
      <c r="E27" s="18">
        <v>2</v>
      </c>
      <c r="F27" s="18">
        <v>23</v>
      </c>
      <c r="G27" s="18">
        <v>2</v>
      </c>
      <c r="H27" s="18">
        <v>2</v>
      </c>
      <c r="I27" s="18">
        <v>23</v>
      </c>
      <c r="J27" s="18">
        <v>2</v>
      </c>
      <c r="K27" s="18">
        <v>20</v>
      </c>
      <c r="L27" s="18">
        <v>2</v>
      </c>
      <c r="M27" s="25">
        <f t="shared" si="1"/>
        <v>86.956521739130437</v>
      </c>
    </row>
    <row r="28" spans="1:13" x14ac:dyDescent="0.25">
      <c r="A28" s="63" t="s">
        <v>31</v>
      </c>
      <c r="B28" s="23" t="s">
        <v>20</v>
      </c>
      <c r="C28" s="18">
        <v>25</v>
      </c>
      <c r="D28" s="18">
        <v>25</v>
      </c>
      <c r="E28" s="18">
        <v>0</v>
      </c>
      <c r="F28" s="18"/>
      <c r="G28" s="18"/>
      <c r="H28" s="18"/>
      <c r="I28" s="18"/>
      <c r="J28" s="18"/>
      <c r="K28" s="18"/>
      <c r="L28" s="18"/>
      <c r="M28" s="26"/>
    </row>
    <row r="29" spans="1:13" x14ac:dyDescent="0.25">
      <c r="A29" s="63"/>
      <c r="B29" s="23" t="s">
        <v>21</v>
      </c>
      <c r="C29" s="18">
        <v>25</v>
      </c>
      <c r="D29" s="18">
        <v>25</v>
      </c>
      <c r="E29" s="18">
        <v>25</v>
      </c>
      <c r="F29" s="18"/>
      <c r="G29" s="18"/>
      <c r="H29" s="18"/>
      <c r="I29" s="18"/>
      <c r="J29" s="18"/>
      <c r="K29" s="18"/>
      <c r="L29" s="18"/>
      <c r="M29" s="18"/>
    </row>
    <row r="30" spans="1:13" x14ac:dyDescent="0.25">
      <c r="A30" s="63"/>
      <c r="B30" s="23" t="s">
        <v>22</v>
      </c>
      <c r="C30" s="18">
        <v>25</v>
      </c>
      <c r="D30" s="18">
        <v>25</v>
      </c>
      <c r="E30" s="18">
        <v>25</v>
      </c>
      <c r="F30" s="18"/>
      <c r="G30" s="18"/>
      <c r="H30" s="18"/>
      <c r="I30" s="18"/>
      <c r="J30" s="18"/>
      <c r="K30" s="18"/>
      <c r="L30" s="18"/>
      <c r="M30" s="18"/>
    </row>
    <row r="31" spans="1:13" x14ac:dyDescent="0.25">
      <c r="A31" s="26"/>
      <c r="B31" s="27" t="s">
        <v>8</v>
      </c>
      <c r="C31" s="23"/>
      <c r="D31" s="23">
        <f t="shared" ref="D31:L31" si="2">SUM(D22:D30)</f>
        <v>225</v>
      </c>
      <c r="E31" s="23">
        <f t="shared" si="2"/>
        <v>62</v>
      </c>
      <c r="F31" s="23">
        <f t="shared" si="2"/>
        <v>143</v>
      </c>
      <c r="G31" s="23">
        <f t="shared" si="2"/>
        <v>12</v>
      </c>
      <c r="H31" s="23">
        <f t="shared" si="2"/>
        <v>6</v>
      </c>
      <c r="I31" s="23">
        <f t="shared" si="2"/>
        <v>143</v>
      </c>
      <c r="J31" s="23">
        <f t="shared" si="2"/>
        <v>12</v>
      </c>
      <c r="K31" s="23">
        <f t="shared" si="2"/>
        <v>116</v>
      </c>
      <c r="L31" s="23">
        <f t="shared" si="2"/>
        <v>12</v>
      </c>
      <c r="M31" s="28">
        <f>AVERAGE(M22:M27)</f>
        <v>81.175120772946869</v>
      </c>
    </row>
    <row r="32" spans="1:13" x14ac:dyDescent="0.25">
      <c r="A32" s="64" t="s">
        <v>25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</row>
    <row r="33" spans="1:13" x14ac:dyDescent="0.25">
      <c r="A33" s="67" t="s">
        <v>33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</row>
    <row r="34" spans="1:13" ht="15.75" x14ac:dyDescent="0.25">
      <c r="A34" s="68" t="s">
        <v>27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</row>
    <row r="35" spans="1:13" x14ac:dyDescent="0.25">
      <c r="A35" s="69" t="s">
        <v>28</v>
      </c>
      <c r="B35" s="63" t="s">
        <v>2</v>
      </c>
      <c r="C35" s="65" t="s">
        <v>3</v>
      </c>
      <c r="D35" s="63" t="s">
        <v>4</v>
      </c>
      <c r="E35" s="63"/>
      <c r="F35" s="63" t="s">
        <v>5</v>
      </c>
      <c r="G35" s="63"/>
      <c r="H35" s="63"/>
      <c r="I35" s="63" t="s">
        <v>6</v>
      </c>
      <c r="J35" s="63"/>
      <c r="K35" s="63" t="s">
        <v>7</v>
      </c>
      <c r="L35" s="63"/>
      <c r="M35" s="63"/>
    </row>
    <row r="36" spans="1:13" ht="18.75" customHeight="1" x14ac:dyDescent="0.25">
      <c r="A36" s="69"/>
      <c r="B36" s="63"/>
      <c r="C36" s="66"/>
      <c r="D36" s="19" t="s">
        <v>8</v>
      </c>
      <c r="E36" s="19" t="s">
        <v>9</v>
      </c>
      <c r="F36" s="19" t="s">
        <v>8</v>
      </c>
      <c r="G36" s="19" t="s">
        <v>9</v>
      </c>
      <c r="H36" s="29" t="s">
        <v>10</v>
      </c>
      <c r="I36" s="19" t="s">
        <v>8</v>
      </c>
      <c r="J36" s="19" t="s">
        <v>9</v>
      </c>
      <c r="K36" s="19" t="s">
        <v>8</v>
      </c>
      <c r="L36" s="19" t="s">
        <v>9</v>
      </c>
      <c r="M36" s="30" t="s">
        <v>11</v>
      </c>
    </row>
    <row r="37" spans="1:13" x14ac:dyDescent="0.25">
      <c r="A37" s="63" t="s">
        <v>29</v>
      </c>
      <c r="B37" s="29" t="s">
        <v>21</v>
      </c>
      <c r="C37" s="24">
        <v>25</v>
      </c>
      <c r="D37" s="24">
        <v>25</v>
      </c>
      <c r="E37" s="24">
        <v>0</v>
      </c>
      <c r="F37" s="24">
        <v>25</v>
      </c>
      <c r="G37" s="24">
        <v>0</v>
      </c>
      <c r="H37" s="24">
        <v>0</v>
      </c>
      <c r="I37" s="24">
        <v>25</v>
      </c>
      <c r="J37" s="24">
        <v>0</v>
      </c>
      <c r="K37" s="24">
        <v>19</v>
      </c>
      <c r="L37" s="24">
        <v>0</v>
      </c>
      <c r="M37" s="24">
        <v>76</v>
      </c>
    </row>
    <row r="38" spans="1:13" x14ac:dyDescent="0.25">
      <c r="A38" s="63"/>
      <c r="B38" s="29" t="s">
        <v>22</v>
      </c>
      <c r="C38" s="24">
        <v>25</v>
      </c>
      <c r="D38" s="24">
        <v>25</v>
      </c>
      <c r="E38" s="24">
        <v>0</v>
      </c>
      <c r="F38" s="24">
        <v>25</v>
      </c>
      <c r="G38" s="24">
        <v>0</v>
      </c>
      <c r="H38" s="24">
        <v>0</v>
      </c>
      <c r="I38" s="24">
        <v>25</v>
      </c>
      <c r="J38" s="24">
        <v>0</v>
      </c>
      <c r="K38" s="24">
        <v>20</v>
      </c>
      <c r="L38" s="24">
        <v>0</v>
      </c>
      <c r="M38" s="24">
        <v>80</v>
      </c>
    </row>
    <row r="39" spans="1:13" x14ac:dyDescent="0.25">
      <c r="A39" s="63" t="s">
        <v>30</v>
      </c>
      <c r="B39" s="29" t="s">
        <v>21</v>
      </c>
      <c r="C39" s="24">
        <v>25</v>
      </c>
      <c r="D39" s="24">
        <v>25</v>
      </c>
      <c r="E39" s="24">
        <v>0</v>
      </c>
      <c r="F39" s="24">
        <v>25</v>
      </c>
      <c r="G39" s="24">
        <v>0</v>
      </c>
      <c r="H39" s="24">
        <v>0</v>
      </c>
      <c r="I39" s="24">
        <v>25</v>
      </c>
      <c r="J39" s="24">
        <v>0</v>
      </c>
      <c r="K39" s="24">
        <v>17</v>
      </c>
      <c r="L39" s="24">
        <v>0</v>
      </c>
      <c r="M39" s="24">
        <v>68</v>
      </c>
    </row>
    <row r="40" spans="1:13" x14ac:dyDescent="0.25">
      <c r="A40" s="63"/>
      <c r="B40" s="29" t="s">
        <v>22</v>
      </c>
      <c r="C40" s="24">
        <v>25</v>
      </c>
      <c r="D40" s="24">
        <v>25</v>
      </c>
      <c r="E40" s="24">
        <v>0</v>
      </c>
      <c r="F40" s="24">
        <v>25</v>
      </c>
      <c r="G40" s="24">
        <v>0</v>
      </c>
      <c r="H40" s="24">
        <v>0</v>
      </c>
      <c r="I40" s="24">
        <v>25</v>
      </c>
      <c r="J40" s="24">
        <v>0</v>
      </c>
      <c r="K40" s="24">
        <v>11</v>
      </c>
      <c r="L40" s="24">
        <v>0</v>
      </c>
      <c r="M40" s="24">
        <v>44</v>
      </c>
    </row>
    <row r="41" spans="1:13" x14ac:dyDescent="0.25">
      <c r="A41" s="63" t="s">
        <v>31</v>
      </c>
      <c r="B41" s="29" t="s">
        <v>21</v>
      </c>
      <c r="C41" s="24">
        <v>25</v>
      </c>
      <c r="D41" s="24">
        <v>25</v>
      </c>
      <c r="E41" s="24">
        <v>3</v>
      </c>
      <c r="F41" s="24"/>
      <c r="G41" s="24"/>
      <c r="H41" s="24"/>
      <c r="I41" s="24"/>
      <c r="J41" s="24"/>
      <c r="K41" s="24"/>
      <c r="L41" s="24"/>
      <c r="M41" s="26"/>
    </row>
    <row r="42" spans="1:13" x14ac:dyDescent="0.25">
      <c r="A42" s="63"/>
      <c r="B42" s="29" t="s">
        <v>22</v>
      </c>
      <c r="C42" s="24">
        <v>25</v>
      </c>
      <c r="D42" s="24">
        <v>25</v>
      </c>
      <c r="E42" s="24">
        <v>25</v>
      </c>
      <c r="F42" s="24"/>
      <c r="G42" s="24"/>
      <c r="H42" s="24"/>
      <c r="I42" s="24"/>
      <c r="J42" s="24"/>
      <c r="K42" s="24"/>
      <c r="L42" s="24"/>
      <c r="M42" s="24"/>
    </row>
    <row r="43" spans="1:13" x14ac:dyDescent="0.25">
      <c r="A43" s="26"/>
      <c r="B43" s="27" t="s">
        <v>8</v>
      </c>
      <c r="C43" s="31"/>
      <c r="D43" s="23">
        <f t="shared" ref="D43:L43" si="3">SUM(D37:D42)</f>
        <v>150</v>
      </c>
      <c r="E43" s="23">
        <f t="shared" si="3"/>
        <v>28</v>
      </c>
      <c r="F43" s="23">
        <f t="shared" si="3"/>
        <v>100</v>
      </c>
      <c r="G43" s="23">
        <f t="shared" si="3"/>
        <v>0</v>
      </c>
      <c r="H43" s="23">
        <f t="shared" si="3"/>
        <v>0</v>
      </c>
      <c r="I43" s="23">
        <f t="shared" si="3"/>
        <v>100</v>
      </c>
      <c r="J43" s="23">
        <f t="shared" si="3"/>
        <v>0</v>
      </c>
      <c r="K43" s="23">
        <f t="shared" si="3"/>
        <v>67</v>
      </c>
      <c r="L43" s="23">
        <f t="shared" si="3"/>
        <v>0</v>
      </c>
      <c r="M43" s="19">
        <f>AVERAGE(M37:M40)</f>
        <v>67</v>
      </c>
    </row>
    <row r="44" spans="1:13" x14ac:dyDescent="0.25">
      <c r="A44" s="64" t="s">
        <v>25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</row>
    <row r="45" spans="1:13" x14ac:dyDescent="0.25">
      <c r="A45" s="67" t="s">
        <v>34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</row>
    <row r="46" spans="1:13" x14ac:dyDescent="0.25">
      <c r="A46" s="64" t="s">
        <v>27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</row>
    <row r="47" spans="1:13" x14ac:dyDescent="0.25">
      <c r="A47" s="63" t="s">
        <v>28</v>
      </c>
      <c r="B47" s="63" t="s">
        <v>2</v>
      </c>
      <c r="C47" s="65" t="s">
        <v>3</v>
      </c>
      <c r="D47" s="63" t="s">
        <v>4</v>
      </c>
      <c r="E47" s="63"/>
      <c r="F47" s="63" t="s">
        <v>5</v>
      </c>
      <c r="G47" s="63"/>
      <c r="H47" s="63"/>
      <c r="I47" s="63" t="s">
        <v>6</v>
      </c>
      <c r="J47" s="63"/>
      <c r="K47" s="63" t="s">
        <v>7</v>
      </c>
      <c r="L47" s="63"/>
      <c r="M47" s="63"/>
    </row>
    <row r="48" spans="1:13" x14ac:dyDescent="0.25">
      <c r="A48" s="63"/>
      <c r="B48" s="63"/>
      <c r="C48" s="66"/>
      <c r="D48" s="19" t="s">
        <v>8</v>
      </c>
      <c r="E48" s="19" t="s">
        <v>9</v>
      </c>
      <c r="F48" s="19" t="s">
        <v>8</v>
      </c>
      <c r="G48" s="19" t="s">
        <v>9</v>
      </c>
      <c r="H48" s="19" t="s">
        <v>10</v>
      </c>
      <c r="I48" s="19" t="s">
        <v>8</v>
      </c>
      <c r="J48" s="19" t="s">
        <v>9</v>
      </c>
      <c r="K48" s="19" t="s">
        <v>8</v>
      </c>
      <c r="L48" s="19" t="s">
        <v>9</v>
      </c>
      <c r="M48" s="19" t="s">
        <v>11</v>
      </c>
    </row>
    <row r="49" spans="1:13" x14ac:dyDescent="0.25">
      <c r="A49" s="63" t="s">
        <v>29</v>
      </c>
      <c r="B49" s="23" t="s">
        <v>20</v>
      </c>
      <c r="C49" s="18">
        <v>25</v>
      </c>
      <c r="D49" s="18">
        <v>25</v>
      </c>
      <c r="E49" s="18">
        <v>0</v>
      </c>
      <c r="F49" s="18">
        <v>22</v>
      </c>
      <c r="G49" s="18">
        <v>0</v>
      </c>
      <c r="H49" s="18">
        <f>D49-F49</f>
        <v>3</v>
      </c>
      <c r="I49" s="18">
        <v>22</v>
      </c>
      <c r="J49" s="18">
        <v>0</v>
      </c>
      <c r="K49" s="18">
        <v>16</v>
      </c>
      <c r="L49" s="18">
        <v>0</v>
      </c>
      <c r="M49" s="18">
        <v>72.73</v>
      </c>
    </row>
    <row r="50" spans="1:13" x14ac:dyDescent="0.25">
      <c r="A50" s="63"/>
      <c r="B50" s="23" t="s">
        <v>21</v>
      </c>
      <c r="C50" s="18">
        <v>25</v>
      </c>
      <c r="D50" s="18">
        <v>22</v>
      </c>
      <c r="E50" s="18">
        <v>10</v>
      </c>
      <c r="F50" s="18">
        <v>16</v>
      </c>
      <c r="G50" s="18">
        <v>10</v>
      </c>
      <c r="H50" s="18">
        <f t="shared" ref="H50:H54" si="4">D50-F50</f>
        <v>6</v>
      </c>
      <c r="I50" s="18">
        <v>16</v>
      </c>
      <c r="J50" s="18">
        <v>10</v>
      </c>
      <c r="K50" s="18">
        <v>9</v>
      </c>
      <c r="L50" s="18">
        <v>3</v>
      </c>
      <c r="M50" s="18">
        <v>56.25</v>
      </c>
    </row>
    <row r="51" spans="1:13" x14ac:dyDescent="0.25">
      <c r="A51" s="63"/>
      <c r="B51" s="23" t="s">
        <v>22</v>
      </c>
      <c r="C51" s="18">
        <v>25</v>
      </c>
      <c r="D51" s="18">
        <v>24</v>
      </c>
      <c r="E51" s="18">
        <v>14</v>
      </c>
      <c r="F51" s="18">
        <v>21</v>
      </c>
      <c r="G51" s="18">
        <v>11</v>
      </c>
      <c r="H51" s="18">
        <f t="shared" si="4"/>
        <v>3</v>
      </c>
      <c r="I51" s="18">
        <v>21</v>
      </c>
      <c r="J51" s="18">
        <v>11</v>
      </c>
      <c r="K51" s="18">
        <v>15</v>
      </c>
      <c r="L51" s="18">
        <v>8</v>
      </c>
      <c r="M51" s="18">
        <v>71.430000000000007</v>
      </c>
    </row>
    <row r="52" spans="1:13" x14ac:dyDescent="0.25">
      <c r="A52" s="63" t="s">
        <v>30</v>
      </c>
      <c r="B52" s="23" t="s">
        <v>20</v>
      </c>
      <c r="C52" s="18">
        <v>25</v>
      </c>
      <c r="D52" s="32">
        <v>23</v>
      </c>
      <c r="E52" s="18">
        <v>0</v>
      </c>
      <c r="F52" s="18">
        <v>19</v>
      </c>
      <c r="G52" s="18">
        <v>0</v>
      </c>
      <c r="H52" s="18">
        <f t="shared" si="4"/>
        <v>4</v>
      </c>
      <c r="I52" s="18">
        <v>19</v>
      </c>
      <c r="J52" s="18">
        <v>0</v>
      </c>
      <c r="K52" s="18">
        <v>2</v>
      </c>
      <c r="L52" s="18">
        <v>0</v>
      </c>
      <c r="M52" s="18">
        <v>10.52</v>
      </c>
    </row>
    <row r="53" spans="1:13" x14ac:dyDescent="0.25">
      <c r="A53" s="63"/>
      <c r="B53" s="23" t="s">
        <v>21</v>
      </c>
      <c r="C53" s="18">
        <v>25</v>
      </c>
      <c r="D53" s="32">
        <v>22</v>
      </c>
      <c r="E53" s="18">
        <v>11</v>
      </c>
      <c r="F53" s="18">
        <v>20</v>
      </c>
      <c r="G53" s="18">
        <v>11</v>
      </c>
      <c r="H53" s="18">
        <f t="shared" si="4"/>
        <v>2</v>
      </c>
      <c r="I53" s="18">
        <v>20</v>
      </c>
      <c r="J53" s="18">
        <v>11</v>
      </c>
      <c r="K53" s="18">
        <v>4</v>
      </c>
      <c r="L53" s="18">
        <v>4</v>
      </c>
      <c r="M53" s="25">
        <v>20</v>
      </c>
    </row>
    <row r="54" spans="1:13" x14ac:dyDescent="0.25">
      <c r="A54" s="63"/>
      <c r="B54" s="23" t="s">
        <v>22</v>
      </c>
      <c r="C54" s="18">
        <v>25</v>
      </c>
      <c r="D54" s="32">
        <f>SUM(B54:C54)</f>
        <v>25</v>
      </c>
      <c r="E54" s="18">
        <v>10</v>
      </c>
      <c r="F54" s="18">
        <v>22</v>
      </c>
      <c r="G54" s="18">
        <v>10</v>
      </c>
      <c r="H54" s="18">
        <f t="shared" si="4"/>
        <v>3</v>
      </c>
      <c r="I54" s="18">
        <v>22</v>
      </c>
      <c r="J54" s="18">
        <v>10</v>
      </c>
      <c r="K54" s="18">
        <v>5</v>
      </c>
      <c r="L54" s="18">
        <v>1</v>
      </c>
      <c r="M54" s="18">
        <v>22.73</v>
      </c>
    </row>
    <row r="55" spans="1:13" x14ac:dyDescent="0.25">
      <c r="A55" s="63" t="s">
        <v>31</v>
      </c>
      <c r="B55" s="23" t="s">
        <v>20</v>
      </c>
      <c r="C55" s="18">
        <v>25</v>
      </c>
      <c r="D55" s="18">
        <v>25</v>
      </c>
      <c r="E55" s="18">
        <v>3</v>
      </c>
      <c r="F55" s="18"/>
      <c r="G55" s="18"/>
      <c r="H55" s="18"/>
      <c r="I55" s="18"/>
      <c r="J55" s="18"/>
      <c r="K55" s="18"/>
      <c r="L55" s="18"/>
      <c r="M55" s="26"/>
    </row>
    <row r="56" spans="1:13" x14ac:dyDescent="0.25">
      <c r="A56" s="63"/>
      <c r="B56" s="23" t="s">
        <v>21</v>
      </c>
      <c r="C56" s="18">
        <v>25</v>
      </c>
      <c r="D56" s="18">
        <v>25</v>
      </c>
      <c r="E56" s="18">
        <v>9</v>
      </c>
      <c r="F56" s="18"/>
      <c r="G56" s="18"/>
      <c r="H56" s="18"/>
      <c r="I56" s="18"/>
      <c r="J56" s="18"/>
      <c r="K56" s="18"/>
      <c r="L56" s="18"/>
      <c r="M56" s="18"/>
    </row>
    <row r="57" spans="1:13" x14ac:dyDescent="0.25">
      <c r="A57" s="63"/>
      <c r="B57" s="23" t="s">
        <v>22</v>
      </c>
      <c r="C57" s="18">
        <v>25</v>
      </c>
      <c r="D57" s="18">
        <v>25</v>
      </c>
      <c r="E57" s="18">
        <v>23</v>
      </c>
      <c r="F57" s="18"/>
      <c r="G57" s="18"/>
      <c r="H57" s="18"/>
      <c r="I57" s="18"/>
      <c r="J57" s="18"/>
      <c r="K57" s="18"/>
      <c r="L57" s="18"/>
      <c r="M57" s="18"/>
    </row>
    <row r="58" spans="1:13" x14ac:dyDescent="0.25">
      <c r="A58" s="26"/>
      <c r="B58" s="27" t="s">
        <v>8</v>
      </c>
      <c r="C58" s="23"/>
      <c r="D58" s="23">
        <f t="shared" ref="D58:L58" si="5">SUM(D49:D57)</f>
        <v>216</v>
      </c>
      <c r="E58" s="23">
        <f t="shared" si="5"/>
        <v>80</v>
      </c>
      <c r="F58" s="23">
        <f t="shared" si="5"/>
        <v>120</v>
      </c>
      <c r="G58" s="23">
        <f t="shared" si="5"/>
        <v>42</v>
      </c>
      <c r="H58" s="23">
        <f t="shared" si="5"/>
        <v>21</v>
      </c>
      <c r="I58" s="23">
        <f t="shared" si="5"/>
        <v>120</v>
      </c>
      <c r="J58" s="23">
        <f t="shared" si="5"/>
        <v>42</v>
      </c>
      <c r="K58" s="23">
        <f t="shared" si="5"/>
        <v>51</v>
      </c>
      <c r="L58" s="23">
        <f t="shared" si="5"/>
        <v>16</v>
      </c>
      <c r="M58" s="28">
        <f>AVERAGE(M49:M54)</f>
        <v>42.276666666666671</v>
      </c>
    </row>
    <row r="59" spans="1:13" x14ac:dyDescent="0.25">
      <c r="A59" s="64" t="s">
        <v>25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</row>
    <row r="60" spans="1:13" x14ac:dyDescent="0.25">
      <c r="A60" s="67" t="s">
        <v>35</v>
      </c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</row>
    <row r="61" spans="1:13" x14ac:dyDescent="0.25">
      <c r="A61" s="64" t="s">
        <v>36</v>
      </c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</row>
    <row r="62" spans="1:13" x14ac:dyDescent="0.25">
      <c r="A62" s="63" t="s">
        <v>28</v>
      </c>
      <c r="B62" s="63" t="s">
        <v>2</v>
      </c>
      <c r="C62" s="65" t="s">
        <v>3</v>
      </c>
      <c r="D62" s="63" t="s">
        <v>4</v>
      </c>
      <c r="E62" s="63"/>
      <c r="F62" s="63" t="s">
        <v>5</v>
      </c>
      <c r="G62" s="63"/>
      <c r="H62" s="63"/>
      <c r="I62" s="63" t="s">
        <v>6</v>
      </c>
      <c r="J62" s="63"/>
      <c r="K62" s="63" t="s">
        <v>7</v>
      </c>
      <c r="L62" s="63"/>
      <c r="M62" s="63"/>
    </row>
    <row r="63" spans="1:13" x14ac:dyDescent="0.25">
      <c r="A63" s="63"/>
      <c r="B63" s="63"/>
      <c r="C63" s="66"/>
      <c r="D63" s="19" t="s">
        <v>8</v>
      </c>
      <c r="E63" s="19" t="s">
        <v>9</v>
      </c>
      <c r="F63" s="19" t="s">
        <v>8</v>
      </c>
      <c r="G63" s="19" t="s">
        <v>9</v>
      </c>
      <c r="H63" s="19" t="s">
        <v>10</v>
      </c>
      <c r="I63" s="19" t="s">
        <v>8</v>
      </c>
      <c r="J63" s="19" t="s">
        <v>9</v>
      </c>
      <c r="K63" s="19" t="s">
        <v>8</v>
      </c>
      <c r="L63" s="19" t="s">
        <v>9</v>
      </c>
      <c r="M63" s="19" t="s">
        <v>11</v>
      </c>
    </row>
    <row r="64" spans="1:13" x14ac:dyDescent="0.25">
      <c r="A64" s="63" t="s">
        <v>29</v>
      </c>
      <c r="B64" s="23" t="s">
        <v>20</v>
      </c>
      <c r="C64" s="18">
        <v>25</v>
      </c>
      <c r="D64" s="18">
        <v>24</v>
      </c>
      <c r="E64" s="18">
        <v>0</v>
      </c>
      <c r="F64" s="18">
        <v>23</v>
      </c>
      <c r="G64" s="18">
        <v>0</v>
      </c>
      <c r="H64" s="18">
        <v>1</v>
      </c>
      <c r="I64" s="18">
        <v>23</v>
      </c>
      <c r="J64" s="18">
        <v>0</v>
      </c>
      <c r="K64" s="18">
        <v>22</v>
      </c>
      <c r="L64" s="18">
        <v>0</v>
      </c>
      <c r="M64" s="25">
        <v>95.66</v>
      </c>
    </row>
    <row r="65" spans="1:13" x14ac:dyDescent="0.25">
      <c r="A65" s="63"/>
      <c r="B65" s="23" t="s">
        <v>22</v>
      </c>
      <c r="C65" s="18">
        <v>25</v>
      </c>
      <c r="D65" s="18">
        <v>25</v>
      </c>
      <c r="E65" s="18">
        <v>3</v>
      </c>
      <c r="F65" s="18">
        <v>25</v>
      </c>
      <c r="G65" s="18">
        <v>3</v>
      </c>
      <c r="H65" s="18">
        <v>0</v>
      </c>
      <c r="I65" s="18">
        <v>25</v>
      </c>
      <c r="J65" s="18">
        <v>3</v>
      </c>
      <c r="K65" s="18">
        <v>23</v>
      </c>
      <c r="L65" s="18">
        <v>3</v>
      </c>
      <c r="M65" s="25">
        <v>92</v>
      </c>
    </row>
    <row r="66" spans="1:13" x14ac:dyDescent="0.25">
      <c r="A66" s="63"/>
      <c r="B66" s="23" t="s">
        <v>23</v>
      </c>
      <c r="C66" s="18">
        <v>25</v>
      </c>
      <c r="D66" s="18">
        <v>25</v>
      </c>
      <c r="E66" s="18">
        <v>2</v>
      </c>
      <c r="F66" s="18">
        <v>25</v>
      </c>
      <c r="G66" s="18">
        <v>2</v>
      </c>
      <c r="H66" s="18">
        <v>0</v>
      </c>
      <c r="I66" s="18">
        <v>25</v>
      </c>
      <c r="J66" s="18">
        <v>2</v>
      </c>
      <c r="K66" s="18">
        <v>17</v>
      </c>
      <c r="L66" s="18">
        <v>0</v>
      </c>
      <c r="M66" s="25">
        <v>68</v>
      </c>
    </row>
    <row r="67" spans="1:13" x14ac:dyDescent="0.25">
      <c r="A67" s="63" t="s">
        <v>30</v>
      </c>
      <c r="B67" s="23" t="s">
        <v>20</v>
      </c>
      <c r="C67" s="18">
        <v>25</v>
      </c>
      <c r="D67" s="18">
        <v>25</v>
      </c>
      <c r="E67" s="18">
        <v>0</v>
      </c>
      <c r="F67" s="18">
        <v>24</v>
      </c>
      <c r="G67" s="18">
        <v>0</v>
      </c>
      <c r="H67" s="18">
        <v>1</v>
      </c>
      <c r="I67" s="18">
        <v>24</v>
      </c>
      <c r="J67" s="18">
        <v>0</v>
      </c>
      <c r="K67" s="18">
        <v>10</v>
      </c>
      <c r="L67" s="18">
        <v>0</v>
      </c>
      <c r="M67" s="25">
        <v>41.67</v>
      </c>
    </row>
    <row r="68" spans="1:13" x14ac:dyDescent="0.25">
      <c r="A68" s="63"/>
      <c r="B68" s="23" t="s">
        <v>22</v>
      </c>
      <c r="C68" s="18">
        <v>25</v>
      </c>
      <c r="D68" s="18">
        <v>25</v>
      </c>
      <c r="E68" s="18">
        <v>0</v>
      </c>
      <c r="F68" s="18">
        <v>25</v>
      </c>
      <c r="G68" s="18">
        <v>0</v>
      </c>
      <c r="H68" s="18">
        <v>0</v>
      </c>
      <c r="I68" s="18">
        <v>25</v>
      </c>
      <c r="J68" s="18">
        <v>0</v>
      </c>
      <c r="K68" s="18">
        <v>7</v>
      </c>
      <c r="L68" s="18">
        <v>0</v>
      </c>
      <c r="M68" s="25">
        <v>28</v>
      </c>
    </row>
    <row r="69" spans="1:13" x14ac:dyDescent="0.25">
      <c r="A69" s="63"/>
      <c r="B69" s="23" t="s">
        <v>23</v>
      </c>
      <c r="C69" s="18">
        <v>25</v>
      </c>
      <c r="D69" s="18">
        <v>25</v>
      </c>
      <c r="E69" s="18">
        <v>4</v>
      </c>
      <c r="F69" s="18">
        <v>24</v>
      </c>
      <c r="G69" s="18">
        <v>4</v>
      </c>
      <c r="H69" s="18">
        <v>1</v>
      </c>
      <c r="I69" s="18">
        <v>24</v>
      </c>
      <c r="J69" s="18">
        <v>4</v>
      </c>
      <c r="K69" s="18">
        <v>7</v>
      </c>
      <c r="L69" s="18">
        <v>1</v>
      </c>
      <c r="M69" s="25">
        <v>29.17</v>
      </c>
    </row>
    <row r="70" spans="1:13" x14ac:dyDescent="0.25">
      <c r="A70" s="63" t="s">
        <v>31</v>
      </c>
      <c r="B70" s="23" t="s">
        <v>20</v>
      </c>
      <c r="C70" s="18">
        <v>25</v>
      </c>
      <c r="D70" s="18">
        <v>25</v>
      </c>
      <c r="E70" s="18">
        <v>3</v>
      </c>
      <c r="F70" s="18"/>
      <c r="G70" s="18"/>
      <c r="H70" s="18"/>
      <c r="I70" s="18"/>
      <c r="J70" s="18"/>
      <c r="K70" s="18"/>
      <c r="L70" s="18"/>
      <c r="M70" s="26"/>
    </row>
    <row r="71" spans="1:13" x14ac:dyDescent="0.25">
      <c r="A71" s="63"/>
      <c r="B71" s="23" t="s">
        <v>22</v>
      </c>
      <c r="C71" s="18">
        <v>25</v>
      </c>
      <c r="D71" s="18">
        <v>25</v>
      </c>
      <c r="E71" s="18">
        <v>20</v>
      </c>
      <c r="F71" s="18"/>
      <c r="G71" s="18"/>
      <c r="H71" s="18"/>
      <c r="I71" s="18"/>
      <c r="J71" s="18"/>
      <c r="K71" s="18"/>
      <c r="L71" s="18"/>
      <c r="M71" s="18"/>
    </row>
    <row r="72" spans="1:13" x14ac:dyDescent="0.25">
      <c r="A72" s="63"/>
      <c r="B72" s="23" t="s">
        <v>23</v>
      </c>
      <c r="C72" s="18">
        <v>25</v>
      </c>
      <c r="D72" s="18">
        <v>25</v>
      </c>
      <c r="E72" s="18">
        <v>10</v>
      </c>
      <c r="F72" s="18"/>
      <c r="G72" s="18"/>
      <c r="H72" s="18"/>
      <c r="I72" s="18"/>
      <c r="J72" s="18"/>
      <c r="K72" s="18"/>
      <c r="L72" s="18"/>
      <c r="M72" s="18"/>
    </row>
    <row r="73" spans="1:13" x14ac:dyDescent="0.25">
      <c r="A73" s="26"/>
      <c r="B73" s="27" t="s">
        <v>8</v>
      </c>
      <c r="C73" s="23"/>
      <c r="D73" s="23">
        <f t="shared" ref="D73:L73" si="6">SUM(D64:D72)</f>
        <v>224</v>
      </c>
      <c r="E73" s="23">
        <f t="shared" si="6"/>
        <v>42</v>
      </c>
      <c r="F73" s="23">
        <f t="shared" si="6"/>
        <v>146</v>
      </c>
      <c r="G73" s="23">
        <f t="shared" si="6"/>
        <v>9</v>
      </c>
      <c r="H73" s="23">
        <f t="shared" si="6"/>
        <v>3</v>
      </c>
      <c r="I73" s="23">
        <f t="shared" si="6"/>
        <v>146</v>
      </c>
      <c r="J73" s="23">
        <f t="shared" si="6"/>
        <v>9</v>
      </c>
      <c r="K73" s="23">
        <f t="shared" si="6"/>
        <v>86</v>
      </c>
      <c r="L73" s="23">
        <f t="shared" si="6"/>
        <v>4</v>
      </c>
      <c r="M73" s="28">
        <f>AVERAGE(M64:M69)</f>
        <v>59.083333333333336</v>
      </c>
    </row>
  </sheetData>
  <mergeCells count="66">
    <mergeCell ref="A19:M19"/>
    <mergeCell ref="A2:M2"/>
    <mergeCell ref="A3:M3"/>
    <mergeCell ref="A4:M4"/>
    <mergeCell ref="A5:A6"/>
    <mergeCell ref="B5:B6"/>
    <mergeCell ref="C5:C6"/>
    <mergeCell ref="D5:E5"/>
    <mergeCell ref="F5:H5"/>
    <mergeCell ref="I5:J5"/>
    <mergeCell ref="K5:M5"/>
    <mergeCell ref="A7:A9"/>
    <mergeCell ref="A10:A12"/>
    <mergeCell ref="A13:A15"/>
    <mergeCell ref="A17:M17"/>
    <mergeCell ref="A18:M18"/>
    <mergeCell ref="K20:M20"/>
    <mergeCell ref="A32:M32"/>
    <mergeCell ref="A33:M33"/>
    <mergeCell ref="A20:A21"/>
    <mergeCell ref="B20:B21"/>
    <mergeCell ref="C20:C21"/>
    <mergeCell ref="D20:E20"/>
    <mergeCell ref="F20:H20"/>
    <mergeCell ref="I20:J20"/>
    <mergeCell ref="A34:M34"/>
    <mergeCell ref="A35:A36"/>
    <mergeCell ref="B35:B36"/>
    <mergeCell ref="C35:C36"/>
    <mergeCell ref="D35:E35"/>
    <mergeCell ref="F35:H35"/>
    <mergeCell ref="I35:J35"/>
    <mergeCell ref="K35:M35"/>
    <mergeCell ref="I47:J47"/>
    <mergeCell ref="A37:A38"/>
    <mergeCell ref="A39:A40"/>
    <mergeCell ref="A41:A42"/>
    <mergeCell ref="A44:M44"/>
    <mergeCell ref="A45:M45"/>
    <mergeCell ref="A46:M46"/>
    <mergeCell ref="A47:A48"/>
    <mergeCell ref="B47:B48"/>
    <mergeCell ref="C47:C48"/>
    <mergeCell ref="D47:E47"/>
    <mergeCell ref="F47:H47"/>
    <mergeCell ref="A49:A51"/>
    <mergeCell ref="A52:A54"/>
    <mergeCell ref="A55:A57"/>
    <mergeCell ref="A59:M59"/>
    <mergeCell ref="A60:M60"/>
    <mergeCell ref="A1:M1"/>
    <mergeCell ref="A64:A66"/>
    <mergeCell ref="A67:A69"/>
    <mergeCell ref="A70:A72"/>
    <mergeCell ref="A28:A30"/>
    <mergeCell ref="A25:A27"/>
    <mergeCell ref="A22:A24"/>
    <mergeCell ref="A61:M61"/>
    <mergeCell ref="A62:A63"/>
    <mergeCell ref="B62:B63"/>
    <mergeCell ref="C62:C63"/>
    <mergeCell ref="D62:E62"/>
    <mergeCell ref="F62:H62"/>
    <mergeCell ref="I62:J62"/>
    <mergeCell ref="K62:M62"/>
    <mergeCell ref="K47:M47"/>
  </mergeCells>
  <pageMargins left="0.45" right="0.2" top="0" bottom="0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Basic&amp;Advanced</vt:lpstr>
      <vt:lpstr>Centrewise Basic Summary</vt:lpstr>
      <vt:lpstr>'Basic&amp;Advanced'!Print_Area</vt:lpstr>
      <vt:lpstr>'Centrewise Basic Summary'!Print_Area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SICIP BITAC</cp:lastModifiedBy>
  <cp:lastPrinted>2026-05-18T04:00:52Z</cp:lastPrinted>
  <dcterms:created xsi:type="dcterms:W3CDTF">2026-05-05T06:58:56Z</dcterms:created>
  <dcterms:modified xsi:type="dcterms:W3CDTF">2026-05-18T08:42:42Z</dcterms:modified>
  <cp:category/>
</cp:coreProperties>
</file>